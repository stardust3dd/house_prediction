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ing" sheetId="1" r:id="rId4"/>
  </sheets>
  <definedNames/>
  <calcPr/>
</workbook>
</file>

<file path=xl/sharedStrings.xml><?xml version="1.0" encoding="utf-8"?>
<sst xmlns="http://schemas.openxmlformats.org/spreadsheetml/2006/main" count="32" uniqueCount="26">
  <si>
    <t>No</t>
  </si>
  <si>
    <t>price</t>
  </si>
  <si>
    <t>Needs assembly or not (0=no,1=yes)</t>
  </si>
  <si>
    <t>bedroom</t>
  </si>
  <si>
    <t>children room</t>
  </si>
  <si>
    <t>living room</t>
  </si>
  <si>
    <t>total</t>
  </si>
  <si>
    <t>kitchen</t>
  </si>
  <si>
    <t>A/C Window</t>
  </si>
  <si>
    <t>elevator</t>
  </si>
  <si>
    <t>floor</t>
  </si>
  <si>
    <t>location (km)</t>
  </si>
  <si>
    <t>time to collect</t>
  </si>
  <si>
    <t>Fragile Items</t>
  </si>
  <si>
    <t>Extra Charges</t>
  </si>
  <si>
    <t>Blanket Wrapping</t>
  </si>
  <si>
    <t xml:space="preserve">30 per room </t>
  </si>
  <si>
    <t>Carpenters</t>
  </si>
  <si>
    <t>30per room</t>
  </si>
  <si>
    <t>Cleaning at drop off location</t>
  </si>
  <si>
    <t>40 per room</t>
  </si>
  <si>
    <t>Cleaning at pick up location</t>
  </si>
  <si>
    <t>Men for lifting and handling</t>
  </si>
  <si>
    <t>30 per room</t>
  </si>
  <si>
    <t xml:space="preserve">Need Boxes </t>
  </si>
  <si>
    <t>Packaging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</si>
</sst>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Arial"/>
    </font>
    <font/>
    <font>
      <b/>
    </font>
    <font>
      <b/>
      <name val="Inherit"/>
    </font>
    <font>
      <b/>
      <color rgb="FF444444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2" fontId="4" numFmtId="0" xfId="0" applyAlignment="1" applyFill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5" numFmtId="0" xfId="0" applyAlignment="1" applyFill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4.86"/>
    <col customWidth="1" min="2" max="3" width="8.71"/>
    <col customWidth="1" min="4" max="4" width="32.43"/>
    <col customWidth="1" min="5" max="26" width="8.71"/>
  </cols>
  <sheetData>
    <row r="1" ht="14.25" customHeight="1">
      <c r="B1" s="1" t="s">
        <v>0</v>
      </c>
      <c r="C1" s="1" t="s">
        <v>1</v>
      </c>
      <c r="D1" s="2" t="s">
        <v>2</v>
      </c>
      <c r="E1" s="1" t="s">
        <v>1</v>
      </c>
    </row>
    <row r="2" ht="14.25" customHeight="1"/>
    <row r="3" ht="14.25" customHeight="1">
      <c r="A3" s="1" t="s">
        <v>3</v>
      </c>
      <c r="B3" s="2">
        <v>2.0</v>
      </c>
      <c r="C3" s="1">
        <f>IF(D3=0,120,200)</f>
        <v>200</v>
      </c>
      <c r="D3" s="2">
        <v>1.0</v>
      </c>
      <c r="E3" s="1">
        <f t="shared" ref="E3:E10" si="1">B3*C3</f>
        <v>400</v>
      </c>
    </row>
    <row r="4" ht="14.25" customHeight="1">
      <c r="A4" s="1" t="s">
        <v>4</v>
      </c>
      <c r="B4" s="2">
        <v>0.0</v>
      </c>
      <c r="C4" s="1">
        <f>IF(D4=0,100,150)</f>
        <v>150</v>
      </c>
      <c r="D4" s="2">
        <v>1.0</v>
      </c>
      <c r="E4" s="1">
        <f t="shared" si="1"/>
        <v>0</v>
      </c>
    </row>
    <row r="5" ht="14.25" customHeight="1">
      <c r="A5" s="1" t="s">
        <v>5</v>
      </c>
      <c r="B5" s="2">
        <v>2.0</v>
      </c>
      <c r="C5" s="1">
        <f>IF(D5=0,140,250)</f>
        <v>250</v>
      </c>
      <c r="D5" s="2">
        <v>1.0</v>
      </c>
      <c r="E5" s="1">
        <f t="shared" si="1"/>
        <v>500</v>
      </c>
      <c r="F5" s="1" t="s">
        <v>6</v>
      </c>
      <c r="G5" s="1">
        <f>SUM(E3:E11)</f>
        <v>2020</v>
      </c>
    </row>
    <row r="6" ht="14.25" customHeight="1">
      <c r="A6" s="1" t="s">
        <v>7</v>
      </c>
      <c r="B6" s="2">
        <v>1.0</v>
      </c>
      <c r="C6" s="1">
        <f>IF(D6=0,120,500)</f>
        <v>120</v>
      </c>
      <c r="D6" s="2">
        <v>0.0</v>
      </c>
      <c r="E6" s="1">
        <f t="shared" si="1"/>
        <v>120</v>
      </c>
    </row>
    <row r="7" ht="14.25" customHeight="1">
      <c r="A7" s="1" t="s">
        <v>8</v>
      </c>
      <c r="B7" s="2">
        <v>0.0</v>
      </c>
      <c r="C7" s="2">
        <v>130.0</v>
      </c>
      <c r="E7" s="1">
        <f t="shared" si="1"/>
        <v>0</v>
      </c>
    </row>
    <row r="8" ht="14.25" customHeight="1">
      <c r="A8" s="1" t="s">
        <v>9</v>
      </c>
      <c r="C8" s="1">
        <v>0.0</v>
      </c>
      <c r="E8" s="1">
        <f t="shared" si="1"/>
        <v>0</v>
      </c>
      <c r="H8" s="3"/>
    </row>
    <row r="9" ht="14.25" customHeight="1">
      <c r="A9" s="1" t="s">
        <v>10</v>
      </c>
      <c r="B9" s="2">
        <v>3.0</v>
      </c>
      <c r="C9" s="1">
        <v>50.0</v>
      </c>
      <c r="E9" s="1">
        <f t="shared" si="1"/>
        <v>150</v>
      </c>
      <c r="H9" s="4"/>
    </row>
    <row r="10" ht="14.25" customHeight="1">
      <c r="A10" s="1" t="s">
        <v>11</v>
      </c>
      <c r="B10" s="2">
        <v>500.0</v>
      </c>
      <c r="C10" s="2">
        <v>1.7</v>
      </c>
      <c r="E10" s="1">
        <f t="shared" si="1"/>
        <v>850</v>
      </c>
      <c r="H10" s="4"/>
    </row>
    <row r="11" ht="14.25" customHeight="1">
      <c r="A11" s="1" t="s">
        <v>12</v>
      </c>
      <c r="H11" s="4"/>
    </row>
    <row r="12" ht="14.25" customHeight="1">
      <c r="A12" s="2" t="s">
        <v>13</v>
      </c>
      <c r="B12" s="1">
        <f>150</f>
        <v>150</v>
      </c>
      <c r="H12" s="4"/>
    </row>
    <row r="13" ht="14.25" customHeight="1">
      <c r="A13" s="5" t="s">
        <v>14</v>
      </c>
      <c r="H13" s="4"/>
    </row>
    <row r="14" ht="14.25" customHeight="1">
      <c r="A14" s="6" t="s">
        <v>15</v>
      </c>
      <c r="B14" s="2" t="s">
        <v>16</v>
      </c>
      <c r="H14" s="4"/>
    </row>
    <row r="15" ht="14.25" customHeight="1">
      <c r="A15" s="6" t="s">
        <v>17</v>
      </c>
      <c r="B15" s="2" t="s">
        <v>18</v>
      </c>
      <c r="H15" s="4"/>
      <c r="O15" s="1">
        <v>1.0</v>
      </c>
    </row>
    <row r="16" ht="14.25" customHeight="1">
      <c r="A16" s="6" t="s">
        <v>19</v>
      </c>
      <c r="B16" s="2" t="s">
        <v>20</v>
      </c>
      <c r="H16" s="4"/>
    </row>
    <row r="17" ht="14.25" customHeight="1">
      <c r="A17" s="6" t="s">
        <v>21</v>
      </c>
      <c r="B17" s="2" t="s">
        <v>16</v>
      </c>
      <c r="H17" s="4"/>
    </row>
    <row r="18" ht="14.25" customHeight="1">
      <c r="A18" s="6" t="s">
        <v>22</v>
      </c>
      <c r="B18" s="2" t="s">
        <v>23</v>
      </c>
      <c r="H18" s="4"/>
    </row>
    <row r="19" ht="14.25" customHeight="1">
      <c r="A19" s="6" t="s">
        <v>24</v>
      </c>
      <c r="B19" s="6" t="s">
        <v>23</v>
      </c>
      <c r="H19" s="4"/>
    </row>
    <row r="20" ht="14.25" customHeight="1">
      <c r="A20" s="6" t="s">
        <v>25</v>
      </c>
      <c r="B20" s="2" t="s">
        <v>23</v>
      </c>
      <c r="H20" s="4"/>
    </row>
    <row r="21" ht="14.25" customHeight="1">
      <c r="A21" s="6" t="s">
        <v>22</v>
      </c>
      <c r="B21" s="6" t="s">
        <v>23</v>
      </c>
      <c r="H21" s="4"/>
    </row>
    <row r="22" ht="14.25" customHeight="1">
      <c r="H22" s="4"/>
    </row>
    <row r="23" ht="14.25" customHeight="1">
      <c r="H23" s="4"/>
    </row>
    <row r="24" ht="14.25" customHeight="1">
      <c r="H24" s="4"/>
    </row>
    <row r="25" ht="14.25" customHeight="1">
      <c r="H25" s="4"/>
    </row>
    <row r="26" ht="14.25" customHeight="1">
      <c r="H26" s="4"/>
    </row>
    <row r="27" ht="14.25" customHeight="1">
      <c r="H27" s="4"/>
    </row>
    <row r="28" ht="14.25" customHeight="1">
      <c r="H28" s="4"/>
    </row>
    <row r="29" ht="14.25" customHeight="1">
      <c r="H29" s="7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